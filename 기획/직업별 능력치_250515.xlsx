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par\Desktop\storage\기획\"/>
    </mc:Choice>
  </mc:AlternateContent>
  <xr:revisionPtr revIDLastSave="0" documentId="13_ncr:1_{030CCCA6-6386-4C47-971B-C94DA33D0A1F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 l="1"/>
  <c r="P36" i="1"/>
  <c r="O36" i="1"/>
  <c r="N36" i="1"/>
  <c r="M36" i="1"/>
  <c r="Q29" i="1"/>
  <c r="P29" i="1"/>
  <c r="O29" i="1"/>
  <c r="N29" i="1"/>
  <c r="M29" i="1"/>
  <c r="R21" i="1"/>
  <c r="Q21" i="1"/>
  <c r="P21" i="1"/>
  <c r="O21" i="1"/>
  <c r="N21" i="1"/>
  <c r="H21" i="1"/>
  <c r="G21" i="1"/>
  <c r="F21" i="1"/>
  <c r="E21" i="1"/>
  <c r="D21" i="1"/>
  <c r="R20" i="1"/>
  <c r="Q20" i="1"/>
  <c r="P20" i="1"/>
  <c r="O20" i="1"/>
  <c r="N20" i="1"/>
  <c r="H20" i="1"/>
  <c r="G20" i="1"/>
  <c r="F20" i="1"/>
  <c r="E20" i="1"/>
  <c r="D20" i="1"/>
  <c r="AC19" i="1"/>
  <c r="AB19" i="1"/>
  <c r="Z19" i="1"/>
  <c r="X19" i="1"/>
  <c r="V19" i="1"/>
  <c r="U19" i="1"/>
  <c r="T19" i="1"/>
  <c r="S19" i="1"/>
  <c r="J19" i="1"/>
  <c r="I19" i="1"/>
  <c r="AC18" i="1"/>
  <c r="AB18" i="1"/>
  <c r="Z18" i="1"/>
  <c r="X18" i="1"/>
  <c r="V18" i="1"/>
  <c r="U18" i="1"/>
  <c r="T18" i="1"/>
  <c r="S18" i="1"/>
  <c r="J18" i="1"/>
  <c r="I18" i="1"/>
  <c r="AC17" i="1"/>
  <c r="AB17" i="1"/>
  <c r="Z17" i="1"/>
  <c r="X17" i="1"/>
  <c r="V17" i="1"/>
  <c r="U17" i="1"/>
  <c r="T17" i="1"/>
  <c r="S17" i="1"/>
  <c r="J17" i="1"/>
  <c r="I17" i="1"/>
  <c r="AC16" i="1"/>
  <c r="AB16" i="1"/>
  <c r="Z16" i="1"/>
  <c r="X16" i="1"/>
  <c r="V16" i="1"/>
  <c r="U16" i="1"/>
  <c r="T16" i="1"/>
  <c r="S16" i="1"/>
  <c r="J16" i="1"/>
  <c r="I16" i="1"/>
  <c r="AC15" i="1"/>
  <c r="AB15" i="1"/>
  <c r="Z15" i="1"/>
  <c r="X15" i="1"/>
  <c r="V15" i="1"/>
  <c r="U15" i="1"/>
  <c r="T15" i="1"/>
  <c r="S15" i="1"/>
  <c r="J15" i="1"/>
  <c r="I15" i="1"/>
  <c r="AC14" i="1"/>
  <c r="AB14" i="1"/>
  <c r="Z14" i="1"/>
  <c r="X14" i="1"/>
  <c r="V14" i="1"/>
  <c r="U14" i="1"/>
  <c r="T14" i="1"/>
  <c r="S14" i="1"/>
  <c r="J14" i="1"/>
  <c r="I14" i="1"/>
  <c r="AC13" i="1"/>
  <c r="AB13" i="1"/>
  <c r="Z13" i="1"/>
  <c r="X13" i="1"/>
  <c r="V13" i="1"/>
  <c r="U13" i="1"/>
  <c r="T13" i="1"/>
  <c r="S13" i="1"/>
  <c r="J13" i="1"/>
  <c r="I13" i="1"/>
  <c r="AC12" i="1"/>
  <c r="AB12" i="1"/>
  <c r="Z12" i="1"/>
  <c r="X12" i="1"/>
  <c r="V12" i="1"/>
  <c r="U12" i="1"/>
  <c r="T12" i="1"/>
  <c r="S12" i="1"/>
  <c r="J12" i="1"/>
  <c r="I12" i="1"/>
  <c r="AC11" i="1"/>
  <c r="AB11" i="1"/>
  <c r="Z11" i="1"/>
  <c r="X11" i="1"/>
  <c r="V11" i="1"/>
  <c r="U11" i="1"/>
  <c r="T11" i="1"/>
  <c r="S11" i="1"/>
  <c r="J11" i="1"/>
  <c r="I11" i="1"/>
  <c r="AC10" i="1"/>
  <c r="AB10" i="1"/>
  <c r="Z10" i="1"/>
  <c r="X10" i="1"/>
  <c r="V10" i="1"/>
  <c r="U10" i="1"/>
  <c r="T10" i="1"/>
  <c r="S10" i="1"/>
  <c r="J10" i="1"/>
  <c r="I10" i="1"/>
  <c r="AC9" i="1"/>
  <c r="AB9" i="1"/>
  <c r="Z9" i="1"/>
  <c r="X9" i="1"/>
  <c r="V9" i="1"/>
  <c r="U9" i="1"/>
  <c r="T9" i="1"/>
  <c r="S9" i="1"/>
  <c r="J9" i="1"/>
  <c r="I9" i="1"/>
  <c r="AC8" i="1"/>
  <c r="AB8" i="1"/>
  <c r="Z8" i="1"/>
  <c r="X8" i="1"/>
  <c r="V8" i="1"/>
  <c r="U8" i="1"/>
  <c r="T8" i="1"/>
  <c r="S8" i="1"/>
  <c r="J8" i="1"/>
  <c r="I8" i="1"/>
</calcChain>
</file>

<file path=xl/sharedStrings.xml><?xml version="1.0" encoding="utf-8"?>
<sst xmlns="http://schemas.openxmlformats.org/spreadsheetml/2006/main" count="152" uniqueCount="106">
  <si>
    <t>최저 체력</t>
  </si>
  <si>
    <t>무사</t>
  </si>
  <si>
    <t>성직자</t>
  </si>
  <si>
    <t>성기사</t>
  </si>
  <si>
    <t>격투가</t>
  </si>
  <si>
    <t>마법사</t>
  </si>
  <si>
    <t>궁수</t>
  </si>
  <si>
    <t>폭탄마</t>
  </si>
  <si>
    <t>나무꾼</t>
  </si>
  <si>
    <t>닌자</t>
  </si>
  <si>
    <t>사냥꾼</t>
  </si>
  <si>
    <t>무당</t>
  </si>
  <si>
    <t>최대 명중 95% 최소 명중 15%</t>
  </si>
  <si>
    <t>적 명중이 95일 때 맞을 확률</t>
  </si>
  <si>
    <t>ex) 나무꾼 -&gt; 닌자 공격</t>
  </si>
  <si>
    <t>적 민첩이 5일 때 공격 성공 확률</t>
  </si>
  <si>
    <t>30 데미지를 받을 때 실제 피해량</t>
  </si>
  <si>
    <t>아군 데미지, 공격 범위 증가</t>
  </si>
  <si>
    <t>95-(민첩*3)</t>
  </si>
  <si>
    <t>후열 단일 공격</t>
  </si>
  <si>
    <t>광역 공격(물)</t>
  </si>
  <si>
    <t>무작위 단일 도발</t>
  </si>
  <si>
    <t>전열 적 단일 공격</t>
  </si>
  <si>
    <t>전열 단일 공격</t>
  </si>
  <si>
    <t>전열 광역 도발</t>
  </si>
  <si>
    <t>후열 광역 도발</t>
  </si>
  <si>
    <t>전열 광역 출혈 공격</t>
  </si>
  <si>
    <t>전체 광역 공격</t>
  </si>
  <si>
    <t>전열 적 기절 공격</t>
  </si>
  <si>
    <t>mannequin</t>
  </si>
  <si>
    <t>doll_bear</t>
  </si>
  <si>
    <t>doll_rabbit</t>
  </si>
  <si>
    <t>computer</t>
  </si>
  <si>
    <t>keyboard</t>
  </si>
  <si>
    <t>doll_whale</t>
  </si>
  <si>
    <t>무작위 중독 단일 공격</t>
  </si>
  <si>
    <t>총 3번 증가 2번 하락</t>
  </si>
  <si>
    <t>teeth_poison</t>
  </si>
  <si>
    <t>명중 - 적 민첩 * 3</t>
  </si>
  <si>
    <t>무작위 출혈 단일 공격</t>
  </si>
  <si>
    <t>30-(30-방어력)/100</t>
  </si>
  <si>
    <t>아군 전체 데미지 증가</t>
  </si>
  <si>
    <t>무작위 광란, 단일 공격</t>
  </si>
  <si>
    <t>res</t>
  </si>
  <si>
    <t>민첩</t>
  </si>
  <si>
    <t>hp</t>
  </si>
  <si>
    <t>hit</t>
  </si>
  <si>
    <t>마네킹</t>
  </si>
  <si>
    <t>spd</t>
  </si>
  <si>
    <t>방어</t>
  </si>
  <si>
    <t>눈알</t>
  </si>
  <si>
    <t>명중</t>
  </si>
  <si>
    <t>스피커</t>
  </si>
  <si>
    <t>저항</t>
  </si>
  <si>
    <t>def</t>
  </si>
  <si>
    <t>기도관</t>
  </si>
  <si>
    <t>은혜관</t>
  </si>
  <si>
    <t>이름</t>
  </si>
  <si>
    <t>스킬2</t>
  </si>
  <si>
    <t>의사</t>
  </si>
  <si>
    <t>마우스</t>
  </si>
  <si>
    <t>틀니</t>
  </si>
  <si>
    <t>전열</t>
  </si>
  <si>
    <t>키보드</t>
  </si>
  <si>
    <t>체력</t>
  </si>
  <si>
    <t>마이크</t>
  </si>
  <si>
    <t>스킬1</t>
  </si>
  <si>
    <t>reg</t>
  </si>
  <si>
    <t>위치</t>
  </si>
  <si>
    <t>모니터</t>
  </si>
  <si>
    <t>컴퓨터</t>
  </si>
  <si>
    <t>후열</t>
  </si>
  <si>
    <t>mic</t>
  </si>
  <si>
    <t>공격자 명중 - (대상 민첩 * 3)</t>
  </si>
  <si>
    <t>곰 인형</t>
  </si>
  <si>
    <t>능력치 합계</t>
  </si>
  <si>
    <t>명중 평균</t>
  </si>
  <si>
    <t>전열 공격</t>
  </si>
  <si>
    <t>저항 평균</t>
  </si>
  <si>
    <t>틀니_중독</t>
  </si>
  <si>
    <t>무작위 광란</t>
  </si>
  <si>
    <t>직업별 합계</t>
  </si>
  <si>
    <t>능력치 평균</t>
  </si>
  <si>
    <t>직업 평균</t>
  </si>
  <si>
    <t>능력치별</t>
  </si>
  <si>
    <t>4가 최고점</t>
  </si>
  <si>
    <t>레벨 1~6</t>
  </si>
  <si>
    <t>5,6 낮아짐</t>
  </si>
  <si>
    <t>고래 인형</t>
  </si>
  <si>
    <t>토끼 인형</t>
  </si>
  <si>
    <t>체력 평균</t>
  </si>
  <si>
    <t>최대 60</t>
  </si>
  <si>
    <t>최대 35</t>
  </si>
  <si>
    <t>30-저항력</t>
  </si>
  <si>
    <t>방어 평균</t>
  </si>
  <si>
    <t>민첩 평균</t>
  </si>
  <si>
    <t>85-10*3</t>
  </si>
  <si>
    <t>speaker</t>
  </si>
  <si>
    <t>레벨 당 증가</t>
  </si>
  <si>
    <t>teeth</t>
  </si>
  <si>
    <t>mouse</t>
  </si>
  <si>
    <t>monitor</t>
  </si>
  <si>
    <t>레벨 당 하락</t>
  </si>
  <si>
    <t>eyeball</t>
  </si>
  <si>
    <t>후열 공격</t>
  </si>
  <si>
    <t>최고 체력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</si>
</sst>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quotePrefix="1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H51"/>
  <sheetViews>
    <sheetView tabSelected="1" topLeftCell="L1" zoomScale="85" zoomScaleNormal="85" zoomScaleSheetLayoutView="75" workbookViewId="0">
      <selection activeCell="V23" sqref="V23"/>
    </sheetView>
  </sheetViews>
  <sheetFormatPr defaultColWidth="8.6640625" defaultRowHeight="17" x14ac:dyDescent="0.45"/>
  <cols>
    <col min="2" max="2" width="10.9140625" customWidth="1"/>
    <col min="3" max="10" width="10.58203125" customWidth="1"/>
    <col min="11" max="11" width="26.4140625" customWidth="1"/>
    <col min="12" max="12" width="26" customWidth="1"/>
    <col min="13" max="13" width="11.9140625" customWidth="1"/>
    <col min="14" max="23" width="10.58203125" customWidth="1"/>
    <col min="24" max="24" width="9.58203125" customWidth="1"/>
    <col min="25" max="25" width="9.5" customWidth="1"/>
    <col min="26" max="26" width="13.6640625" customWidth="1"/>
    <col min="27" max="27" width="8.6640625" hidden="1" customWidth="1"/>
    <col min="28" max="28" width="28.58203125" customWidth="1"/>
    <col min="29" max="29" width="32" customWidth="1"/>
    <col min="30" max="30" width="24.4140625" customWidth="1"/>
  </cols>
  <sheetData>
    <row r="2" spans="2:29" x14ac:dyDescent="0.45">
      <c r="B2" t="s">
        <v>84</v>
      </c>
      <c r="H2" t="s">
        <v>92</v>
      </c>
    </row>
    <row r="3" spans="2:29" x14ac:dyDescent="0.45">
      <c r="K3" t="s">
        <v>86</v>
      </c>
    </row>
    <row r="4" spans="2:29" x14ac:dyDescent="0.45">
      <c r="K4" t="s">
        <v>85</v>
      </c>
    </row>
    <row r="5" spans="2:29" x14ac:dyDescent="0.45">
      <c r="K5" t="s">
        <v>87</v>
      </c>
      <c r="X5" s="13" t="s">
        <v>16</v>
      </c>
      <c r="Y5" s="13"/>
      <c r="Z5" s="13"/>
      <c r="AA5" s="13"/>
      <c r="AB5" s="1" t="s">
        <v>13</v>
      </c>
      <c r="AC5" s="1" t="s">
        <v>15</v>
      </c>
    </row>
    <row r="6" spans="2:29" x14ac:dyDescent="0.45">
      <c r="D6" t="s">
        <v>45</v>
      </c>
      <c r="E6" t="s">
        <v>54</v>
      </c>
      <c r="F6" t="s">
        <v>67</v>
      </c>
      <c r="G6" t="s">
        <v>48</v>
      </c>
      <c r="H6" t="s">
        <v>46</v>
      </c>
      <c r="M6" s="1"/>
      <c r="N6" s="1" t="s">
        <v>45</v>
      </c>
      <c r="O6" s="1" t="s">
        <v>54</v>
      </c>
      <c r="P6" s="1" t="s">
        <v>43</v>
      </c>
      <c r="Q6" s="1" t="s">
        <v>48</v>
      </c>
      <c r="R6" s="1" t="s">
        <v>46</v>
      </c>
      <c r="S6" s="1"/>
      <c r="T6" s="1"/>
      <c r="X6" s="13" t="s">
        <v>40</v>
      </c>
      <c r="Y6" s="13"/>
      <c r="Z6" s="13" t="s">
        <v>93</v>
      </c>
      <c r="AA6" s="13"/>
      <c r="AB6" s="1" t="s">
        <v>18</v>
      </c>
      <c r="AC6" s="1" t="s">
        <v>38</v>
      </c>
    </row>
    <row r="7" spans="2:29" x14ac:dyDescent="0.45">
      <c r="C7" s="2"/>
      <c r="D7" s="3" t="s">
        <v>64</v>
      </c>
      <c r="E7" s="3" t="s">
        <v>49</v>
      </c>
      <c r="F7" s="3" t="s">
        <v>53</v>
      </c>
      <c r="G7" s="3" t="s">
        <v>44</v>
      </c>
      <c r="H7" s="3" t="s">
        <v>51</v>
      </c>
      <c r="I7" s="2" t="s">
        <v>81</v>
      </c>
      <c r="J7" s="2" t="s">
        <v>83</v>
      </c>
      <c r="M7" s="2"/>
      <c r="N7" s="3" t="s">
        <v>64</v>
      </c>
      <c r="O7" s="3" t="s">
        <v>49</v>
      </c>
      <c r="P7" s="3" t="s">
        <v>53</v>
      </c>
      <c r="Q7" s="3" t="s">
        <v>44</v>
      </c>
      <c r="R7" s="3" t="s">
        <v>51</v>
      </c>
      <c r="S7" s="2" t="s">
        <v>81</v>
      </c>
      <c r="T7" s="2" t="s">
        <v>83</v>
      </c>
      <c r="U7" s="3" t="s">
        <v>105</v>
      </c>
      <c r="V7" s="3" t="s">
        <v>0</v>
      </c>
      <c r="X7" s="13" t="s">
        <v>49</v>
      </c>
      <c r="Y7" s="13"/>
      <c r="Z7" s="13" t="s">
        <v>53</v>
      </c>
      <c r="AA7" s="13"/>
      <c r="AC7" s="1"/>
    </row>
    <row r="8" spans="2:29" ht="25" customHeight="1" x14ac:dyDescent="0.45">
      <c r="C8" s="2" t="s">
        <v>3</v>
      </c>
      <c r="D8" s="2">
        <v>4</v>
      </c>
      <c r="E8" s="2">
        <v>3</v>
      </c>
      <c r="F8" s="2">
        <v>5</v>
      </c>
      <c r="G8" s="2">
        <v>1</v>
      </c>
      <c r="H8" s="2">
        <v>3</v>
      </c>
      <c r="I8" s="2">
        <f>SUM(D8:H8)</f>
        <v>16</v>
      </c>
      <c r="J8" s="2">
        <f t="shared" ref="J8:J19" si="0">ROUND(AVERAGE(D8:H8),1)</f>
        <v>3.2</v>
      </c>
      <c r="M8" s="2" t="s">
        <v>3</v>
      </c>
      <c r="N8" s="2">
        <v>67</v>
      </c>
      <c r="O8" s="2">
        <v>12</v>
      </c>
      <c r="P8" s="2">
        <v>15</v>
      </c>
      <c r="Q8" s="2">
        <v>1</v>
      </c>
      <c r="R8" s="2">
        <v>95</v>
      </c>
      <c r="S8" s="2">
        <f>SUM(N8:R8)</f>
        <v>190</v>
      </c>
      <c r="T8" s="2">
        <f>ROUND(AVERAGE(N8:R8),1)</f>
        <v>38</v>
      </c>
      <c r="U8" s="2">
        <f>N23*3+N8</f>
        <v>82</v>
      </c>
      <c r="V8" s="2">
        <f>U8-(N24*2)</f>
        <v>74</v>
      </c>
      <c r="X8" s="13">
        <f t="shared" ref="X8:X19" si="1">30-(30*O8)/100</f>
        <v>26.4</v>
      </c>
      <c r="Y8" s="13"/>
      <c r="Z8" s="13">
        <f t="shared" ref="Z8:Z19" si="2">30-P8</f>
        <v>15</v>
      </c>
      <c r="AA8" s="13"/>
      <c r="AB8" s="1">
        <f t="shared" ref="AB8:AB19" si="3">95-Q8*3</f>
        <v>92</v>
      </c>
      <c r="AC8" s="1">
        <f t="shared" ref="AC8:AC19" si="4">R8-5*3</f>
        <v>80</v>
      </c>
    </row>
    <row r="9" spans="2:29" ht="25" customHeight="1" x14ac:dyDescent="0.45">
      <c r="C9" s="2" t="s">
        <v>8</v>
      </c>
      <c r="D9" s="2">
        <v>5</v>
      </c>
      <c r="E9" s="2">
        <v>2</v>
      </c>
      <c r="F9" s="2">
        <v>0</v>
      </c>
      <c r="G9" s="2">
        <v>1</v>
      </c>
      <c r="H9" s="2">
        <v>1</v>
      </c>
      <c r="I9" s="2">
        <f t="shared" ref="I9:I18" si="5">SUM(D9:H9)</f>
        <v>9</v>
      </c>
      <c r="J9" s="2">
        <f t="shared" si="0"/>
        <v>1.8</v>
      </c>
      <c r="M9" s="2" t="s">
        <v>8</v>
      </c>
      <c r="N9" s="2">
        <v>72</v>
      </c>
      <c r="O9" s="2">
        <v>6</v>
      </c>
      <c r="P9" s="2">
        <v>0</v>
      </c>
      <c r="Q9" s="2">
        <v>2</v>
      </c>
      <c r="R9" s="2">
        <v>85</v>
      </c>
      <c r="S9" s="2">
        <f t="shared" ref="S9:S19" si="6">SUM(N9:R9)</f>
        <v>165</v>
      </c>
      <c r="T9" s="2">
        <f t="shared" ref="T9:T19" si="7">ROUND(AVERAGE(N9:R9),1)</f>
        <v>33</v>
      </c>
      <c r="U9" s="2">
        <f>N9+N23*3</f>
        <v>87</v>
      </c>
      <c r="V9" s="2">
        <f>U9-(N24*2)</f>
        <v>79</v>
      </c>
      <c r="X9" s="13">
        <f t="shared" si="1"/>
        <v>28.2</v>
      </c>
      <c r="Y9" s="13"/>
      <c r="Z9" s="13">
        <f t="shared" si="2"/>
        <v>30</v>
      </c>
      <c r="AA9" s="13"/>
      <c r="AB9" s="1">
        <f t="shared" si="3"/>
        <v>89</v>
      </c>
      <c r="AC9" s="1">
        <f t="shared" si="4"/>
        <v>70</v>
      </c>
    </row>
    <row r="10" spans="2:29" ht="25" customHeight="1" x14ac:dyDescent="0.45">
      <c r="C10" s="2" t="s">
        <v>1</v>
      </c>
      <c r="D10" s="2">
        <v>3</v>
      </c>
      <c r="E10" s="2">
        <v>2</v>
      </c>
      <c r="F10" s="2">
        <v>0</v>
      </c>
      <c r="G10" s="2">
        <v>4</v>
      </c>
      <c r="H10" s="2">
        <v>3</v>
      </c>
      <c r="I10" s="2">
        <f t="shared" si="5"/>
        <v>12</v>
      </c>
      <c r="J10" s="2">
        <f t="shared" si="0"/>
        <v>2.4</v>
      </c>
      <c r="M10" s="2" t="s">
        <v>1</v>
      </c>
      <c r="N10" s="2">
        <v>58</v>
      </c>
      <c r="O10" s="2">
        <v>4</v>
      </c>
      <c r="P10" s="2">
        <v>0</v>
      </c>
      <c r="Q10" s="2">
        <v>7</v>
      </c>
      <c r="R10" s="2">
        <v>95</v>
      </c>
      <c r="S10" s="2">
        <f t="shared" si="6"/>
        <v>164</v>
      </c>
      <c r="T10" s="2">
        <f t="shared" si="7"/>
        <v>32.799999999999997</v>
      </c>
      <c r="U10" s="2">
        <f>N10+N23*3</f>
        <v>73</v>
      </c>
      <c r="V10" s="2">
        <f>U10-(N24*2)</f>
        <v>65</v>
      </c>
      <c r="X10" s="13">
        <f t="shared" si="1"/>
        <v>28.8</v>
      </c>
      <c r="Y10" s="13"/>
      <c r="Z10" s="13">
        <f t="shared" si="2"/>
        <v>30</v>
      </c>
      <c r="AA10" s="13"/>
      <c r="AB10" s="1">
        <f t="shared" si="3"/>
        <v>74</v>
      </c>
      <c r="AC10" s="1">
        <f t="shared" si="4"/>
        <v>80</v>
      </c>
    </row>
    <row r="11" spans="2:29" ht="25" customHeight="1" x14ac:dyDescent="0.45">
      <c r="C11" s="2" t="s">
        <v>4</v>
      </c>
      <c r="D11" s="2">
        <v>4</v>
      </c>
      <c r="E11" s="2">
        <v>4</v>
      </c>
      <c r="F11" s="2">
        <v>0</v>
      </c>
      <c r="G11" s="2">
        <v>3</v>
      </c>
      <c r="H11" s="2">
        <v>2</v>
      </c>
      <c r="I11" s="2">
        <f t="shared" si="5"/>
        <v>13</v>
      </c>
      <c r="J11" s="2">
        <f t="shared" si="0"/>
        <v>2.6</v>
      </c>
      <c r="M11" s="2" t="s">
        <v>4</v>
      </c>
      <c r="N11" s="2">
        <v>64</v>
      </c>
      <c r="O11" s="2">
        <v>15</v>
      </c>
      <c r="P11" s="2">
        <v>0</v>
      </c>
      <c r="Q11" s="2">
        <v>5</v>
      </c>
      <c r="R11" s="2">
        <v>90</v>
      </c>
      <c r="S11" s="2">
        <f t="shared" si="6"/>
        <v>174</v>
      </c>
      <c r="T11" s="2">
        <f t="shared" si="7"/>
        <v>34.799999999999997</v>
      </c>
      <c r="U11" s="2">
        <f>N11+N23*3</f>
        <v>79</v>
      </c>
      <c r="V11" s="2">
        <f>U11-(N24*2)</f>
        <v>71</v>
      </c>
      <c r="X11" s="13">
        <f t="shared" si="1"/>
        <v>25.5</v>
      </c>
      <c r="Y11" s="13"/>
      <c r="Z11" s="13">
        <f t="shared" si="2"/>
        <v>30</v>
      </c>
      <c r="AA11" s="13"/>
      <c r="AB11" s="1">
        <f t="shared" si="3"/>
        <v>80</v>
      </c>
      <c r="AC11" s="1">
        <f t="shared" si="4"/>
        <v>75</v>
      </c>
    </row>
    <row r="12" spans="2:29" ht="25" customHeight="1" x14ac:dyDescent="0.45">
      <c r="C12" s="2" t="s">
        <v>6</v>
      </c>
      <c r="D12" s="2">
        <v>2</v>
      </c>
      <c r="E12" s="2">
        <v>2</v>
      </c>
      <c r="F12" s="2">
        <v>0</v>
      </c>
      <c r="G12" s="2">
        <v>4</v>
      </c>
      <c r="H12" s="2">
        <v>4</v>
      </c>
      <c r="I12" s="2">
        <f t="shared" si="5"/>
        <v>12</v>
      </c>
      <c r="J12" s="2">
        <f t="shared" si="0"/>
        <v>2.4</v>
      </c>
      <c r="M12" s="2" t="s">
        <v>6</v>
      </c>
      <c r="N12" s="2">
        <v>48</v>
      </c>
      <c r="O12" s="2">
        <v>4</v>
      </c>
      <c r="P12" s="2">
        <v>0</v>
      </c>
      <c r="Q12" s="2">
        <v>8</v>
      </c>
      <c r="R12" s="2">
        <v>100</v>
      </c>
      <c r="S12" s="2">
        <f t="shared" si="6"/>
        <v>160</v>
      </c>
      <c r="T12" s="2">
        <f t="shared" si="7"/>
        <v>32</v>
      </c>
      <c r="U12" s="2">
        <f>N12+N23*3</f>
        <v>63</v>
      </c>
      <c r="V12" s="2">
        <f>U12-(N24*2)</f>
        <v>55</v>
      </c>
      <c r="X12" s="13">
        <f t="shared" si="1"/>
        <v>28.8</v>
      </c>
      <c r="Y12" s="13"/>
      <c r="Z12" s="13">
        <f t="shared" si="2"/>
        <v>30</v>
      </c>
      <c r="AA12" s="13"/>
      <c r="AB12" s="1">
        <f t="shared" si="3"/>
        <v>71</v>
      </c>
      <c r="AC12" s="1">
        <f t="shared" si="4"/>
        <v>85</v>
      </c>
    </row>
    <row r="13" spans="2:29" ht="25" customHeight="1" x14ac:dyDescent="0.45">
      <c r="C13" s="2" t="s">
        <v>10</v>
      </c>
      <c r="D13" s="2">
        <v>3</v>
      </c>
      <c r="E13" s="2">
        <v>3</v>
      </c>
      <c r="F13" s="2">
        <v>0</v>
      </c>
      <c r="G13" s="2">
        <v>3</v>
      </c>
      <c r="H13" s="2">
        <v>3</v>
      </c>
      <c r="I13" s="2">
        <f t="shared" si="5"/>
        <v>12</v>
      </c>
      <c r="J13" s="2">
        <f t="shared" si="0"/>
        <v>2.4</v>
      </c>
      <c r="M13" s="2" t="s">
        <v>10</v>
      </c>
      <c r="N13" s="2">
        <v>52</v>
      </c>
      <c r="O13" s="2">
        <v>7</v>
      </c>
      <c r="P13" s="2">
        <v>0</v>
      </c>
      <c r="Q13" s="2">
        <v>6</v>
      </c>
      <c r="R13" s="2">
        <v>95</v>
      </c>
      <c r="S13" s="2">
        <f t="shared" si="6"/>
        <v>160</v>
      </c>
      <c r="T13" s="2">
        <f t="shared" si="7"/>
        <v>32</v>
      </c>
      <c r="U13" s="2">
        <f>N13+N23*3</f>
        <v>67</v>
      </c>
      <c r="V13" s="2">
        <f>U13-(N24*2)</f>
        <v>59</v>
      </c>
      <c r="X13" s="13">
        <f t="shared" si="1"/>
        <v>27.9</v>
      </c>
      <c r="Y13" s="13"/>
      <c r="Z13" s="13">
        <f t="shared" si="2"/>
        <v>30</v>
      </c>
      <c r="AA13" s="13"/>
      <c r="AB13" s="1">
        <f t="shared" si="3"/>
        <v>77</v>
      </c>
      <c r="AC13" s="1">
        <f t="shared" si="4"/>
        <v>80</v>
      </c>
    </row>
    <row r="14" spans="2:29" ht="25" customHeight="1" x14ac:dyDescent="0.45">
      <c r="C14" s="2" t="s">
        <v>5</v>
      </c>
      <c r="D14" s="2">
        <v>2</v>
      </c>
      <c r="E14" s="2">
        <v>1</v>
      </c>
      <c r="F14" s="2">
        <v>3</v>
      </c>
      <c r="G14" s="2">
        <v>2</v>
      </c>
      <c r="H14" s="2">
        <v>3</v>
      </c>
      <c r="I14" s="2">
        <f t="shared" si="5"/>
        <v>11</v>
      </c>
      <c r="J14" s="2">
        <f t="shared" si="0"/>
        <v>2.2000000000000002</v>
      </c>
      <c r="M14" s="2" t="s">
        <v>5</v>
      </c>
      <c r="N14" s="2">
        <v>44</v>
      </c>
      <c r="O14" s="2">
        <v>3</v>
      </c>
      <c r="P14" s="2">
        <v>7</v>
      </c>
      <c r="Q14" s="2">
        <v>3</v>
      </c>
      <c r="R14" s="2">
        <v>95</v>
      </c>
      <c r="S14" s="2">
        <f t="shared" si="6"/>
        <v>152</v>
      </c>
      <c r="T14" s="2">
        <f t="shared" si="7"/>
        <v>30.4</v>
      </c>
      <c r="U14" s="2">
        <f>N14+N23*3</f>
        <v>59</v>
      </c>
      <c r="V14" s="2">
        <f>U14-(N24*2)</f>
        <v>51</v>
      </c>
      <c r="X14" s="13">
        <f t="shared" si="1"/>
        <v>29.1</v>
      </c>
      <c r="Y14" s="13"/>
      <c r="Z14" s="13">
        <f t="shared" si="2"/>
        <v>23</v>
      </c>
      <c r="AA14" s="13"/>
      <c r="AB14" s="1">
        <f t="shared" si="3"/>
        <v>86</v>
      </c>
      <c r="AC14" s="1">
        <f t="shared" si="4"/>
        <v>80</v>
      </c>
    </row>
    <row r="15" spans="2:29" ht="25" customHeight="1" x14ac:dyDescent="0.45">
      <c r="C15" s="2" t="s">
        <v>11</v>
      </c>
      <c r="D15" s="2">
        <v>3</v>
      </c>
      <c r="E15" s="2">
        <v>2</v>
      </c>
      <c r="F15" s="2">
        <v>2</v>
      </c>
      <c r="G15" s="2">
        <v>2</v>
      </c>
      <c r="H15" s="2">
        <v>3</v>
      </c>
      <c r="I15" s="2">
        <f t="shared" si="5"/>
        <v>12</v>
      </c>
      <c r="J15" s="2">
        <f t="shared" si="0"/>
        <v>2.4</v>
      </c>
      <c r="M15" s="2" t="s">
        <v>11</v>
      </c>
      <c r="N15" s="2">
        <v>53</v>
      </c>
      <c r="O15" s="2">
        <v>3</v>
      </c>
      <c r="P15" s="2">
        <v>3</v>
      </c>
      <c r="Q15" s="2">
        <v>4</v>
      </c>
      <c r="R15" s="2">
        <v>95</v>
      </c>
      <c r="S15" s="2">
        <f t="shared" si="6"/>
        <v>158</v>
      </c>
      <c r="T15" s="2">
        <f t="shared" si="7"/>
        <v>31.6</v>
      </c>
      <c r="U15" s="2">
        <f>N15+N23*3</f>
        <v>68</v>
      </c>
      <c r="V15" s="2">
        <f>U15-(N24*2)</f>
        <v>60</v>
      </c>
      <c r="X15" s="13">
        <f t="shared" si="1"/>
        <v>29.1</v>
      </c>
      <c r="Y15" s="13"/>
      <c r="Z15" s="13">
        <f t="shared" si="2"/>
        <v>27</v>
      </c>
      <c r="AA15" s="13"/>
      <c r="AB15" s="1">
        <f t="shared" si="3"/>
        <v>83</v>
      </c>
      <c r="AC15" s="1">
        <f t="shared" si="4"/>
        <v>80</v>
      </c>
    </row>
    <row r="16" spans="2:29" ht="25" customHeight="1" x14ac:dyDescent="0.45">
      <c r="C16" s="2" t="s">
        <v>7</v>
      </c>
      <c r="D16" s="2">
        <v>3</v>
      </c>
      <c r="E16" s="2">
        <v>1</v>
      </c>
      <c r="F16" s="2">
        <v>0</v>
      </c>
      <c r="G16" s="2">
        <v>1</v>
      </c>
      <c r="H16" s="2">
        <v>4</v>
      </c>
      <c r="I16" s="2">
        <f t="shared" si="5"/>
        <v>9</v>
      </c>
      <c r="J16" s="2">
        <f t="shared" si="0"/>
        <v>1.8</v>
      </c>
      <c r="M16" s="2" t="s">
        <v>7</v>
      </c>
      <c r="N16" s="2">
        <v>54</v>
      </c>
      <c r="O16" s="2">
        <v>5</v>
      </c>
      <c r="P16" s="2">
        <v>0</v>
      </c>
      <c r="Q16" s="2">
        <v>3</v>
      </c>
      <c r="R16" s="2">
        <v>90</v>
      </c>
      <c r="S16" s="2">
        <f t="shared" si="6"/>
        <v>152</v>
      </c>
      <c r="T16" s="2">
        <f t="shared" si="7"/>
        <v>30.4</v>
      </c>
      <c r="U16" s="2">
        <f>N16+N23*3</f>
        <v>69</v>
      </c>
      <c r="V16" s="2">
        <f>U16-(N24*2)</f>
        <v>61</v>
      </c>
      <c r="X16" s="13">
        <f t="shared" si="1"/>
        <v>28.5</v>
      </c>
      <c r="Y16" s="13"/>
      <c r="Z16" s="13">
        <f t="shared" si="2"/>
        <v>30</v>
      </c>
      <c r="AA16" s="13"/>
      <c r="AB16" s="1">
        <f t="shared" si="3"/>
        <v>86</v>
      </c>
      <c r="AC16" s="1">
        <f t="shared" si="4"/>
        <v>75</v>
      </c>
    </row>
    <row r="17" spans="2:34" ht="25" customHeight="1" x14ac:dyDescent="0.45">
      <c r="C17" s="2" t="s">
        <v>9</v>
      </c>
      <c r="D17" s="2">
        <v>2</v>
      </c>
      <c r="E17" s="2">
        <v>2</v>
      </c>
      <c r="F17" s="2">
        <v>0</v>
      </c>
      <c r="G17" s="2">
        <v>5</v>
      </c>
      <c r="H17" s="2">
        <v>3</v>
      </c>
      <c r="I17" s="2">
        <f t="shared" si="5"/>
        <v>12</v>
      </c>
      <c r="J17" s="2">
        <f t="shared" si="0"/>
        <v>2.4</v>
      </c>
      <c r="M17" s="2" t="s">
        <v>9</v>
      </c>
      <c r="N17" s="2">
        <v>50</v>
      </c>
      <c r="O17" s="2">
        <v>3</v>
      </c>
      <c r="P17" s="2">
        <v>0</v>
      </c>
      <c r="Q17" s="2">
        <v>10</v>
      </c>
      <c r="R17" s="2">
        <v>95</v>
      </c>
      <c r="S17" s="2">
        <f t="shared" si="6"/>
        <v>158</v>
      </c>
      <c r="T17" s="2">
        <f t="shared" si="7"/>
        <v>31.6</v>
      </c>
      <c r="U17" s="2">
        <f>N17+N23*3</f>
        <v>65</v>
      </c>
      <c r="V17" s="2">
        <f>U17-(N24*2)</f>
        <v>57</v>
      </c>
      <c r="X17" s="13">
        <f t="shared" si="1"/>
        <v>29.1</v>
      </c>
      <c r="Y17" s="13"/>
      <c r="Z17" s="13">
        <f t="shared" si="2"/>
        <v>30</v>
      </c>
      <c r="AA17" s="13"/>
      <c r="AB17" s="1">
        <f t="shared" si="3"/>
        <v>65</v>
      </c>
      <c r="AC17" s="1">
        <f t="shared" si="4"/>
        <v>80</v>
      </c>
    </row>
    <row r="18" spans="2:34" ht="25" customHeight="1" x14ac:dyDescent="0.45">
      <c r="C18" s="2" t="s">
        <v>2</v>
      </c>
      <c r="D18" s="2">
        <v>1</v>
      </c>
      <c r="E18" s="2">
        <v>1</v>
      </c>
      <c r="F18" s="2">
        <v>2</v>
      </c>
      <c r="G18" s="2">
        <v>1</v>
      </c>
      <c r="H18" s="2">
        <v>4</v>
      </c>
      <c r="I18" s="2">
        <f t="shared" si="5"/>
        <v>9</v>
      </c>
      <c r="J18" s="2">
        <f t="shared" si="0"/>
        <v>1.8</v>
      </c>
      <c r="M18" s="2" t="s">
        <v>2</v>
      </c>
      <c r="N18" s="2">
        <v>37</v>
      </c>
      <c r="O18" s="2">
        <v>2</v>
      </c>
      <c r="P18" s="2">
        <v>4</v>
      </c>
      <c r="Q18" s="2">
        <v>1</v>
      </c>
      <c r="R18" s="2">
        <v>105</v>
      </c>
      <c r="S18" s="2">
        <f t="shared" si="6"/>
        <v>149</v>
      </c>
      <c r="T18" s="2">
        <f t="shared" si="7"/>
        <v>29.8</v>
      </c>
      <c r="U18" s="2">
        <f>N18+N23*3</f>
        <v>52</v>
      </c>
      <c r="V18" s="2">
        <f>U18-(N24*2)</f>
        <v>44</v>
      </c>
      <c r="X18" s="13">
        <f t="shared" si="1"/>
        <v>29.4</v>
      </c>
      <c r="Y18" s="13"/>
      <c r="Z18" s="13">
        <f t="shared" si="2"/>
        <v>26</v>
      </c>
      <c r="AA18" s="13"/>
      <c r="AB18" s="1">
        <f t="shared" si="3"/>
        <v>92</v>
      </c>
      <c r="AC18" s="1">
        <f t="shared" si="4"/>
        <v>90</v>
      </c>
    </row>
    <row r="19" spans="2:34" ht="25" customHeight="1" x14ac:dyDescent="0.45">
      <c r="C19" s="2" t="s">
        <v>59</v>
      </c>
      <c r="D19" s="2">
        <v>1</v>
      </c>
      <c r="E19" s="2">
        <v>2</v>
      </c>
      <c r="F19" s="2">
        <v>0</v>
      </c>
      <c r="G19" s="2">
        <v>1</v>
      </c>
      <c r="H19" s="2">
        <v>4</v>
      </c>
      <c r="I19" s="2">
        <f>SUM(D19:H19)</f>
        <v>8</v>
      </c>
      <c r="J19" s="2">
        <f t="shared" si="0"/>
        <v>1.6</v>
      </c>
      <c r="M19" s="2" t="s">
        <v>59</v>
      </c>
      <c r="N19" s="2">
        <v>42</v>
      </c>
      <c r="O19" s="2">
        <v>2</v>
      </c>
      <c r="P19" s="2">
        <v>0</v>
      </c>
      <c r="Q19" s="2">
        <v>1</v>
      </c>
      <c r="R19" s="2">
        <v>105</v>
      </c>
      <c r="S19" s="2">
        <f t="shared" si="6"/>
        <v>150</v>
      </c>
      <c r="T19" s="2">
        <f t="shared" si="7"/>
        <v>30</v>
      </c>
      <c r="U19" s="2">
        <f>N19+N23*3</f>
        <v>57</v>
      </c>
      <c r="V19" s="2">
        <f>U19-(N24*2)</f>
        <v>49</v>
      </c>
      <c r="X19" s="13">
        <f t="shared" si="1"/>
        <v>29.4</v>
      </c>
      <c r="Y19" s="13"/>
      <c r="Z19" s="13">
        <f t="shared" si="2"/>
        <v>30</v>
      </c>
      <c r="AA19" s="13"/>
      <c r="AB19" s="1">
        <f t="shared" si="3"/>
        <v>92</v>
      </c>
      <c r="AC19" s="1">
        <f t="shared" si="4"/>
        <v>90</v>
      </c>
    </row>
    <row r="20" spans="2:34" ht="25" customHeight="1" x14ac:dyDescent="0.45">
      <c r="B20" s="1" t="s">
        <v>91</v>
      </c>
      <c r="C20" s="2" t="s">
        <v>75</v>
      </c>
      <c r="D20" s="2">
        <f>SUM(D8:D19)</f>
        <v>33</v>
      </c>
      <c r="E20" s="2">
        <f t="shared" ref="E20:H20" si="8">SUM(E8:E19)</f>
        <v>25</v>
      </c>
      <c r="F20" s="2">
        <f t="shared" si="8"/>
        <v>12</v>
      </c>
      <c r="G20" s="2">
        <f t="shared" si="8"/>
        <v>28</v>
      </c>
      <c r="H20" s="2">
        <f t="shared" si="8"/>
        <v>37</v>
      </c>
      <c r="I20" s="2"/>
      <c r="J20" s="2"/>
      <c r="M20" s="2" t="s">
        <v>75</v>
      </c>
      <c r="N20" s="2">
        <f>SUM(N8:N19)</f>
        <v>641</v>
      </c>
      <c r="O20" s="2">
        <f t="shared" ref="O20:R20" si="9">SUM(O8:O19)</f>
        <v>66</v>
      </c>
      <c r="P20" s="2">
        <f t="shared" si="9"/>
        <v>29</v>
      </c>
      <c r="Q20" s="2">
        <f t="shared" si="9"/>
        <v>51</v>
      </c>
      <c r="R20" s="2">
        <f t="shared" si="9"/>
        <v>1145</v>
      </c>
      <c r="S20" s="2"/>
      <c r="T20" s="2"/>
      <c r="U20" s="2"/>
      <c r="V20" s="2"/>
    </row>
    <row r="21" spans="2:34" ht="25" customHeight="1" x14ac:dyDescent="0.45">
      <c r="C21" s="2" t="s">
        <v>82</v>
      </c>
      <c r="D21" s="2">
        <f>ROUND(AVERAGE(D8:D19),1)</f>
        <v>2.8</v>
      </c>
      <c r="E21" s="2">
        <f t="shared" ref="E21:H21" si="10">ROUND(AVERAGE(E8:E19),1)</f>
        <v>2.1</v>
      </c>
      <c r="F21" s="2">
        <f t="shared" si="10"/>
        <v>1</v>
      </c>
      <c r="G21" s="2">
        <f t="shared" si="10"/>
        <v>2.2999999999999998</v>
      </c>
      <c r="H21" s="2">
        <f t="shared" si="10"/>
        <v>3.1</v>
      </c>
      <c r="I21" s="2"/>
      <c r="J21" s="2"/>
      <c r="M21" s="2" t="s">
        <v>82</v>
      </c>
      <c r="N21" s="2">
        <f>ROUND(AVERAGE(N8:N19),1)</f>
        <v>53.4</v>
      </c>
      <c r="O21" s="2">
        <f t="shared" ref="O21:R21" si="11">ROUND(AVERAGE(O8:O19),1)</f>
        <v>5.5</v>
      </c>
      <c r="P21" s="2">
        <f t="shared" si="11"/>
        <v>2.4</v>
      </c>
      <c r="Q21" s="2">
        <f t="shared" si="11"/>
        <v>4.3</v>
      </c>
      <c r="R21" s="2">
        <f t="shared" si="11"/>
        <v>95.4</v>
      </c>
      <c r="S21" s="2"/>
      <c r="T21" s="2"/>
      <c r="U21" s="2"/>
      <c r="V21" s="2"/>
    </row>
    <row r="22" spans="2:34" ht="25" customHeight="1" x14ac:dyDescent="0.45">
      <c r="D22" s="4"/>
    </row>
    <row r="23" spans="2:34" x14ac:dyDescent="0.45">
      <c r="L23" t="s">
        <v>36</v>
      </c>
      <c r="M23" s="1" t="s">
        <v>98</v>
      </c>
      <c r="N23" s="10">
        <v>5</v>
      </c>
      <c r="O23" s="10">
        <v>4</v>
      </c>
      <c r="P23" s="11">
        <v>0.2</v>
      </c>
      <c r="Q23" s="1"/>
      <c r="R23" s="1"/>
      <c r="S23" s="1"/>
      <c r="T23" s="1"/>
      <c r="U23" s="1"/>
      <c r="V23" s="1"/>
      <c r="W23" s="1"/>
    </row>
    <row r="24" spans="2:34" x14ac:dyDescent="0.45">
      <c r="M24" s="1" t="s">
        <v>102</v>
      </c>
      <c r="N24" s="10">
        <v>4</v>
      </c>
      <c r="O24" s="10">
        <v>3</v>
      </c>
      <c r="P24" s="11">
        <v>0.15</v>
      </c>
      <c r="Q24" s="1"/>
      <c r="R24" s="1"/>
      <c r="S24" s="1"/>
      <c r="T24" s="1"/>
      <c r="U24" s="1"/>
      <c r="V24" s="1"/>
      <c r="W24" s="1"/>
    </row>
    <row r="25" spans="2:34" x14ac:dyDescent="0.45">
      <c r="M25" s="1"/>
      <c r="P25" s="1"/>
      <c r="Q25" s="1"/>
      <c r="R25" s="1"/>
      <c r="S25" s="1"/>
      <c r="T25" s="1"/>
      <c r="U25" s="1"/>
      <c r="V25" s="1"/>
      <c r="W25" s="1"/>
    </row>
    <row r="26" spans="2:34" x14ac:dyDescent="0.45">
      <c r="M26" s="1"/>
      <c r="P26" s="1"/>
      <c r="Q26" s="1"/>
      <c r="R26" s="1"/>
      <c r="S26" s="1"/>
      <c r="T26" s="1"/>
      <c r="U26" s="1"/>
      <c r="V26" s="1"/>
      <c r="W26" s="1"/>
    </row>
    <row r="27" spans="2:34" x14ac:dyDescent="0.45">
      <c r="P27" s="1"/>
      <c r="Q27" s="1"/>
      <c r="R27" s="1"/>
      <c r="S27" s="1"/>
      <c r="T27" s="1"/>
      <c r="U27" s="1"/>
      <c r="V27" s="1"/>
      <c r="W27" s="1"/>
    </row>
    <row r="28" spans="2:34" ht="23" customHeight="1" x14ac:dyDescent="0.45">
      <c r="C28" s="1"/>
      <c r="D28" s="2" t="s">
        <v>57</v>
      </c>
      <c r="E28" s="2" t="s">
        <v>64</v>
      </c>
      <c r="F28" s="2" t="s">
        <v>49</v>
      </c>
      <c r="G28" s="2" t="s">
        <v>53</v>
      </c>
      <c r="H28" s="2" t="s">
        <v>44</v>
      </c>
      <c r="I28" s="2" t="s">
        <v>51</v>
      </c>
      <c r="J28" s="2" t="s">
        <v>68</v>
      </c>
      <c r="K28" s="2" t="s">
        <v>66</v>
      </c>
      <c r="L28" s="2" t="s">
        <v>58</v>
      </c>
      <c r="M28" s="2" t="s">
        <v>90</v>
      </c>
      <c r="N28" s="2" t="s">
        <v>94</v>
      </c>
      <c r="O28" s="2" t="s">
        <v>78</v>
      </c>
      <c r="P28" s="2" t="s">
        <v>95</v>
      </c>
      <c r="Q28" s="2" t="s">
        <v>76</v>
      </c>
      <c r="R28" s="1"/>
      <c r="S28" s="1"/>
      <c r="T28" s="1"/>
      <c r="U28" s="1"/>
      <c r="V28" s="1"/>
      <c r="W28" s="1"/>
    </row>
    <row r="29" spans="2:34" ht="23" customHeight="1" x14ac:dyDescent="0.45">
      <c r="B29" t="s">
        <v>33</v>
      </c>
      <c r="C29" s="12" t="s">
        <v>55</v>
      </c>
      <c r="D29" s="5" t="s">
        <v>63</v>
      </c>
      <c r="E29" s="2">
        <v>30</v>
      </c>
      <c r="F29" s="2">
        <v>0</v>
      </c>
      <c r="G29" s="2">
        <v>0</v>
      </c>
      <c r="H29" s="2">
        <v>4</v>
      </c>
      <c r="I29" s="2">
        <v>100</v>
      </c>
      <c r="J29" s="2" t="s">
        <v>62</v>
      </c>
      <c r="K29" s="2" t="s">
        <v>21</v>
      </c>
      <c r="L29" s="2" t="s">
        <v>23</v>
      </c>
      <c r="M29" s="14">
        <f>ROUND(AVERAGE(E29:E35),1)</f>
        <v>33.4</v>
      </c>
      <c r="N29" s="14">
        <f>ROUND(AVERAGE(F29:F35),1)</f>
        <v>5</v>
      </c>
      <c r="O29" s="14">
        <f>ROUND(AVERAGE(G29:G35),1)</f>
        <v>2.1</v>
      </c>
      <c r="P29" s="14">
        <f>ROUND(AVERAGE(H29:H35),1)</f>
        <v>4.4000000000000004</v>
      </c>
      <c r="Q29" s="14">
        <f>ROUND(AVERAGE(I29:I35),1)</f>
        <v>95</v>
      </c>
      <c r="R29" s="1"/>
      <c r="S29" s="1"/>
      <c r="T29" s="1"/>
      <c r="U29" s="1"/>
      <c r="V29" s="1"/>
      <c r="W29" s="1"/>
      <c r="AG29" s="13" t="s">
        <v>73</v>
      </c>
      <c r="AH29" s="1" t="s">
        <v>14</v>
      </c>
    </row>
    <row r="30" spans="2:34" ht="23" customHeight="1" x14ac:dyDescent="0.45">
      <c r="B30" t="s">
        <v>100</v>
      </c>
      <c r="C30" s="12"/>
      <c r="D30" s="2" t="s">
        <v>60</v>
      </c>
      <c r="E30" s="2">
        <v>25</v>
      </c>
      <c r="F30" s="2">
        <v>0</v>
      </c>
      <c r="G30" s="2">
        <v>0</v>
      </c>
      <c r="H30" s="2">
        <v>6</v>
      </c>
      <c r="I30" s="2">
        <v>100</v>
      </c>
      <c r="J30" s="2" t="s">
        <v>62</v>
      </c>
      <c r="K30" s="2" t="s">
        <v>23</v>
      </c>
      <c r="L30" s="2"/>
      <c r="M30" s="15"/>
      <c r="N30" s="15"/>
      <c r="O30" s="15"/>
      <c r="P30" s="15"/>
      <c r="Q30" s="15"/>
      <c r="R30" s="1"/>
      <c r="S30" s="1"/>
      <c r="T30" s="1"/>
      <c r="U30" s="1"/>
      <c r="V30" s="1"/>
      <c r="W30" s="1"/>
      <c r="AG30" s="13"/>
      <c r="AH30" s="1" t="s">
        <v>96</v>
      </c>
    </row>
    <row r="31" spans="2:34" ht="23" customHeight="1" x14ac:dyDescent="0.45">
      <c r="B31" t="s">
        <v>101</v>
      </c>
      <c r="C31" s="12"/>
      <c r="D31" s="2" t="s">
        <v>69</v>
      </c>
      <c r="E31" s="2">
        <v>42</v>
      </c>
      <c r="F31" s="2">
        <v>0</v>
      </c>
      <c r="G31" s="2">
        <v>0</v>
      </c>
      <c r="H31" s="2">
        <v>5</v>
      </c>
      <c r="I31" s="2">
        <v>90</v>
      </c>
      <c r="J31" s="2" t="s">
        <v>71</v>
      </c>
      <c r="K31" s="2" t="s">
        <v>27</v>
      </c>
      <c r="L31" s="2"/>
      <c r="M31" s="15"/>
      <c r="N31" s="15"/>
      <c r="O31" s="15"/>
      <c r="P31" s="15"/>
      <c r="Q31" s="15"/>
      <c r="R31" s="1"/>
      <c r="S31" s="1"/>
      <c r="T31" s="1"/>
      <c r="U31" s="1"/>
      <c r="V31" s="1"/>
      <c r="W31" s="1"/>
      <c r="AG31" t="s">
        <v>12</v>
      </c>
      <c r="AH31" s="9">
        <v>0.55000000000000004</v>
      </c>
    </row>
    <row r="32" spans="2:34" ht="23" customHeight="1" x14ac:dyDescent="0.45">
      <c r="B32" t="s">
        <v>32</v>
      </c>
      <c r="C32" s="12"/>
      <c r="D32" s="6" t="s">
        <v>70</v>
      </c>
      <c r="E32" s="6">
        <v>37</v>
      </c>
      <c r="F32" s="6">
        <v>15</v>
      </c>
      <c r="G32" s="6">
        <v>0</v>
      </c>
      <c r="H32" s="6">
        <v>2</v>
      </c>
      <c r="I32" s="6">
        <v>85</v>
      </c>
      <c r="J32" s="6" t="s">
        <v>71</v>
      </c>
      <c r="K32" s="6" t="s">
        <v>41</v>
      </c>
      <c r="L32" s="6" t="s">
        <v>22</v>
      </c>
      <c r="M32" s="15"/>
      <c r="N32" s="15"/>
      <c r="O32" s="15"/>
      <c r="P32" s="15"/>
      <c r="Q32" s="15"/>
      <c r="R32" s="1"/>
      <c r="S32" s="1"/>
      <c r="T32" s="1"/>
      <c r="U32" s="1"/>
      <c r="V32" s="1"/>
      <c r="W32" s="1"/>
    </row>
    <row r="33" spans="2:23" ht="23" customHeight="1" x14ac:dyDescent="0.45">
      <c r="B33" t="s">
        <v>99</v>
      </c>
      <c r="C33" s="12"/>
      <c r="D33" s="7" t="s">
        <v>61</v>
      </c>
      <c r="E33" s="7">
        <v>30</v>
      </c>
      <c r="F33" s="7">
        <v>0</v>
      </c>
      <c r="G33" s="7">
        <v>0</v>
      </c>
      <c r="H33" s="7">
        <v>5</v>
      </c>
      <c r="I33" s="7">
        <v>100</v>
      </c>
      <c r="J33" s="7" t="s">
        <v>62</v>
      </c>
      <c r="K33" s="7" t="s">
        <v>39</v>
      </c>
      <c r="L33" s="7"/>
      <c r="M33" s="15"/>
      <c r="N33" s="15"/>
      <c r="O33" s="15"/>
      <c r="P33" s="15"/>
      <c r="Q33" s="15"/>
      <c r="R33" s="1"/>
      <c r="S33" s="1"/>
      <c r="T33" s="1"/>
      <c r="U33" s="1"/>
      <c r="V33" s="1"/>
      <c r="W33" s="1"/>
    </row>
    <row r="34" spans="2:23" ht="23" customHeight="1" x14ac:dyDescent="0.45">
      <c r="B34" t="s">
        <v>37</v>
      </c>
      <c r="C34" s="12"/>
      <c r="D34" s="8" t="s">
        <v>79</v>
      </c>
      <c r="E34" s="8">
        <v>25</v>
      </c>
      <c r="F34" s="8">
        <v>0</v>
      </c>
      <c r="G34" s="8">
        <v>5</v>
      </c>
      <c r="H34" s="8">
        <v>4</v>
      </c>
      <c r="I34" s="8">
        <v>95</v>
      </c>
      <c r="J34" s="8" t="s">
        <v>62</v>
      </c>
      <c r="K34" s="8" t="s">
        <v>35</v>
      </c>
      <c r="L34" s="8"/>
      <c r="M34" s="15"/>
      <c r="N34" s="15"/>
      <c r="O34" s="15"/>
      <c r="P34" s="15"/>
      <c r="Q34" s="15"/>
      <c r="R34" s="1"/>
      <c r="S34" s="1"/>
      <c r="T34" s="1"/>
      <c r="U34" s="1"/>
      <c r="V34" s="1"/>
      <c r="W34" s="1"/>
    </row>
    <row r="35" spans="2:23" ht="23" customHeight="1" x14ac:dyDescent="0.45">
      <c r="B35" t="s">
        <v>29</v>
      </c>
      <c r="C35" s="12"/>
      <c r="D35" s="8" t="s">
        <v>47</v>
      </c>
      <c r="E35" s="8">
        <v>45</v>
      </c>
      <c r="F35" s="8">
        <v>20</v>
      </c>
      <c r="G35" s="8">
        <v>10</v>
      </c>
      <c r="H35" s="8">
        <v>5</v>
      </c>
      <c r="I35" s="8">
        <v>95</v>
      </c>
      <c r="J35" s="8" t="s">
        <v>62</v>
      </c>
      <c r="K35" s="8" t="s">
        <v>80</v>
      </c>
      <c r="L35" s="8" t="s">
        <v>23</v>
      </c>
      <c r="M35" s="16"/>
      <c r="N35" s="16"/>
      <c r="O35" s="16"/>
      <c r="P35" s="16"/>
      <c r="Q35" s="16"/>
      <c r="R35" s="1"/>
      <c r="S35" s="1"/>
      <c r="T35" s="1"/>
      <c r="U35" s="1"/>
      <c r="V35" s="1"/>
      <c r="W35" s="1"/>
    </row>
    <row r="36" spans="2:23" ht="23" customHeight="1" x14ac:dyDescent="0.45">
      <c r="B36" t="s">
        <v>30</v>
      </c>
      <c r="C36" s="12" t="s">
        <v>56</v>
      </c>
      <c r="D36" s="5" t="s">
        <v>74</v>
      </c>
      <c r="E36" s="5">
        <v>55</v>
      </c>
      <c r="F36" s="5">
        <v>30</v>
      </c>
      <c r="G36" s="5">
        <v>0</v>
      </c>
      <c r="H36" s="5">
        <v>5</v>
      </c>
      <c r="I36" s="5">
        <v>85</v>
      </c>
      <c r="J36" s="5" t="s">
        <v>62</v>
      </c>
      <c r="K36" s="5" t="s">
        <v>25</v>
      </c>
      <c r="L36" s="5" t="s">
        <v>24</v>
      </c>
      <c r="M36" s="14">
        <f>ROUND(AVERAGE(E36:E41),1)</f>
        <v>42.5</v>
      </c>
      <c r="N36" s="14">
        <f t="shared" ref="N36:Q36" si="12">ROUND(AVERAGE(F36:F41),1)</f>
        <v>7.5</v>
      </c>
      <c r="O36" s="14">
        <f t="shared" si="12"/>
        <v>4.2</v>
      </c>
      <c r="P36" s="14">
        <f t="shared" si="12"/>
        <v>4.5</v>
      </c>
      <c r="Q36" s="14">
        <f t="shared" si="12"/>
        <v>95.8</v>
      </c>
      <c r="R36" s="1"/>
      <c r="S36" s="1"/>
      <c r="T36" s="1"/>
      <c r="U36" s="1"/>
      <c r="V36" s="1"/>
      <c r="W36" s="1"/>
    </row>
    <row r="37" spans="2:23" ht="23" customHeight="1" x14ac:dyDescent="0.45">
      <c r="B37" t="s">
        <v>31</v>
      </c>
      <c r="C37" s="12"/>
      <c r="D37" s="2" t="s">
        <v>89</v>
      </c>
      <c r="E37" s="2">
        <v>42</v>
      </c>
      <c r="F37" s="2">
        <v>0</v>
      </c>
      <c r="G37" s="2">
        <v>0</v>
      </c>
      <c r="H37" s="2">
        <v>7</v>
      </c>
      <c r="I37" s="2">
        <v>100</v>
      </c>
      <c r="J37" s="2" t="s">
        <v>62</v>
      </c>
      <c r="K37" s="2" t="s">
        <v>28</v>
      </c>
      <c r="L37" s="2" t="s">
        <v>26</v>
      </c>
      <c r="M37" s="15"/>
      <c r="N37" s="15"/>
      <c r="O37" s="15"/>
      <c r="P37" s="15"/>
      <c r="Q37" s="15"/>
    </row>
    <row r="38" spans="2:23" ht="23" customHeight="1" x14ac:dyDescent="0.45">
      <c r="B38" t="s">
        <v>34</v>
      </c>
      <c r="C38" s="12"/>
      <c r="D38" s="6" t="s">
        <v>88</v>
      </c>
      <c r="E38" s="6">
        <v>35</v>
      </c>
      <c r="F38" s="6">
        <v>0</v>
      </c>
      <c r="G38" s="6">
        <v>15</v>
      </c>
      <c r="H38" s="6">
        <v>2</v>
      </c>
      <c r="I38" s="6">
        <v>95</v>
      </c>
      <c r="J38" s="6" t="s">
        <v>71</v>
      </c>
      <c r="K38" s="6" t="s">
        <v>19</v>
      </c>
      <c r="L38" s="6" t="s">
        <v>20</v>
      </c>
      <c r="M38" s="15"/>
      <c r="N38" s="15"/>
      <c r="O38" s="15"/>
      <c r="P38" s="15"/>
      <c r="Q38" s="15"/>
    </row>
    <row r="39" spans="2:23" ht="23" customHeight="1" x14ac:dyDescent="0.45">
      <c r="B39" t="s">
        <v>103</v>
      </c>
      <c r="C39" s="12"/>
      <c r="D39" s="8" t="s">
        <v>50</v>
      </c>
      <c r="E39" s="8">
        <v>40</v>
      </c>
      <c r="F39" s="8">
        <v>0</v>
      </c>
      <c r="G39" s="8">
        <v>10</v>
      </c>
      <c r="H39" s="8">
        <v>4</v>
      </c>
      <c r="I39" s="8">
        <v>100</v>
      </c>
      <c r="J39" s="8" t="s">
        <v>62</v>
      </c>
      <c r="K39" s="8" t="s">
        <v>42</v>
      </c>
      <c r="L39" s="8"/>
      <c r="M39" s="15"/>
      <c r="N39" s="15"/>
      <c r="O39" s="15"/>
      <c r="P39" s="15"/>
      <c r="Q39" s="15"/>
    </row>
    <row r="40" spans="2:23" ht="23" customHeight="1" x14ac:dyDescent="0.45">
      <c r="B40" t="s">
        <v>72</v>
      </c>
      <c r="C40" s="12"/>
      <c r="D40" s="5" t="s">
        <v>65</v>
      </c>
      <c r="E40" s="5">
        <v>35</v>
      </c>
      <c r="F40" s="5">
        <v>0</v>
      </c>
      <c r="G40" s="5">
        <v>0</v>
      </c>
      <c r="H40" s="5">
        <v>6</v>
      </c>
      <c r="I40" s="5">
        <v>105</v>
      </c>
      <c r="J40" s="5" t="s">
        <v>62</v>
      </c>
      <c r="K40" s="5" t="s">
        <v>77</v>
      </c>
      <c r="L40" s="5" t="s">
        <v>104</v>
      </c>
      <c r="M40" s="15"/>
      <c r="N40" s="15"/>
      <c r="O40" s="15"/>
      <c r="P40" s="15"/>
      <c r="Q40" s="15"/>
    </row>
    <row r="41" spans="2:23" ht="23" customHeight="1" x14ac:dyDescent="0.45">
      <c r="B41" t="s">
        <v>97</v>
      </c>
      <c r="C41" s="12"/>
      <c r="D41" s="6" t="s">
        <v>52</v>
      </c>
      <c r="E41" s="6">
        <v>48</v>
      </c>
      <c r="F41" s="6">
        <v>15</v>
      </c>
      <c r="G41" s="6">
        <v>0</v>
      </c>
      <c r="H41" s="6">
        <v>3</v>
      </c>
      <c r="I41" s="6">
        <v>90</v>
      </c>
      <c r="J41" s="6" t="s">
        <v>62</v>
      </c>
      <c r="K41" s="6" t="s">
        <v>17</v>
      </c>
      <c r="L41" s="6" t="s">
        <v>23</v>
      </c>
      <c r="M41" s="16"/>
      <c r="N41" s="16"/>
      <c r="O41" s="16"/>
      <c r="P41" s="16"/>
      <c r="Q41" s="16"/>
    </row>
    <row r="42" spans="2:23" ht="20" customHeight="1" x14ac:dyDescent="0.45"/>
    <row r="43" spans="2:23" ht="20" customHeight="1" x14ac:dyDescent="0.45"/>
    <row r="44" spans="2:23" ht="20" customHeight="1" x14ac:dyDescent="0.45"/>
    <row r="45" spans="2:23" ht="20" customHeight="1" x14ac:dyDescent="0.45"/>
    <row r="46" spans="2:23" ht="20" customHeight="1" x14ac:dyDescent="0.45"/>
    <row r="47" spans="2:23" ht="20" customHeight="1" x14ac:dyDescent="0.45"/>
    <row r="48" spans="2:23" ht="20" customHeight="1" x14ac:dyDescent="0.45"/>
    <row r="49" ht="20" customHeight="1" x14ac:dyDescent="0.45"/>
    <row r="50" ht="20" customHeight="1" x14ac:dyDescent="0.45"/>
    <row r="51" ht="20" customHeight="1" x14ac:dyDescent="0.45"/>
  </sheetData>
  <mergeCells count="42">
    <mergeCell ref="Q29:Q35"/>
    <mergeCell ref="Q36:Q41"/>
    <mergeCell ref="O29:O35"/>
    <mergeCell ref="P29:P35"/>
    <mergeCell ref="M36:M41"/>
    <mergeCell ref="N36:N41"/>
    <mergeCell ref="O36:O41"/>
    <mergeCell ref="P36:P41"/>
    <mergeCell ref="M29:M35"/>
    <mergeCell ref="N29:N35"/>
    <mergeCell ref="Z19:AA19"/>
    <mergeCell ref="AG29:AG30"/>
    <mergeCell ref="X17:Y17"/>
    <mergeCell ref="X18:Y18"/>
    <mergeCell ref="X19:Y19"/>
    <mergeCell ref="X14:Y14"/>
    <mergeCell ref="Z8:AA8"/>
    <mergeCell ref="Z9:AA9"/>
    <mergeCell ref="Z10:AA10"/>
    <mergeCell ref="Z11:AA11"/>
    <mergeCell ref="Z12:AA12"/>
    <mergeCell ref="X5:AA5"/>
    <mergeCell ref="X7:Y7"/>
    <mergeCell ref="Z7:AA7"/>
    <mergeCell ref="X8:Y8"/>
    <mergeCell ref="X9:Y9"/>
    <mergeCell ref="C29:C35"/>
    <mergeCell ref="C36:C41"/>
    <mergeCell ref="X6:Y6"/>
    <mergeCell ref="Z6:AA6"/>
    <mergeCell ref="Z15:AA15"/>
    <mergeCell ref="Z16:AA16"/>
    <mergeCell ref="Z17:AA17"/>
    <mergeCell ref="Z18:AA18"/>
    <mergeCell ref="X15:Y15"/>
    <mergeCell ref="X16:Y16"/>
    <mergeCell ref="X10:Y10"/>
    <mergeCell ref="Z13:AA13"/>
    <mergeCell ref="Z14:AA14"/>
    <mergeCell ref="X11:Y11"/>
    <mergeCell ref="X12:Y12"/>
    <mergeCell ref="X13:Y13"/>
  </mergeCells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박태영</dc:creator>
  <cp:lastModifiedBy>박태영</cp:lastModifiedBy>
  <cp:revision>2</cp:revision>
  <dcterms:created xsi:type="dcterms:W3CDTF">2025-03-15T01:00:38Z</dcterms:created>
  <dcterms:modified xsi:type="dcterms:W3CDTF">2025-05-14T17:11:50Z</dcterms:modified>
  <cp:version>1200.0100.01</cp:version>
</cp:coreProperties>
</file>